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amilo/Anthidote/"/>
    </mc:Choice>
  </mc:AlternateContent>
  <xr:revisionPtr revIDLastSave="0" documentId="13_ncr:1_{EDCEC937-9D82-FA4F-B806-EC672BFBDA41}" xr6:coauthVersionLast="47" xr6:coauthVersionMax="47" xr10:uidLastSave="{00000000-0000-0000-0000-000000000000}"/>
  <bookViews>
    <workbookView xWindow="0" yWindow="660" windowWidth="17900" windowHeight="16660" xr2:uid="{75216272-A14A-464F-AD07-A36073AE20DB}"/>
  </bookViews>
  <sheets>
    <sheet name="Summer Work - Cami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47" i="1"/>
  <c r="M39" i="1"/>
  <c r="M43" i="1"/>
  <c r="M42" i="1"/>
  <c r="M45" i="1"/>
  <c r="I48" i="1" l="1"/>
  <c r="H48" i="1"/>
  <c r="M21" i="1"/>
  <c r="M5" i="1"/>
  <c r="M7" i="1"/>
  <c r="M40" i="1"/>
  <c r="M34" i="1"/>
  <c r="M46" i="1"/>
  <c r="D48" i="1"/>
  <c r="G48" i="1"/>
  <c r="C48" i="1"/>
  <c r="M37" i="1"/>
  <c r="M33" i="1"/>
  <c r="M41" i="1"/>
  <c r="M29" i="1"/>
  <c r="M31" i="1"/>
  <c r="M27" i="1"/>
  <c r="B48" i="1"/>
  <c r="E48" i="1"/>
  <c r="F48" i="1"/>
  <c r="M22" i="1"/>
  <c r="M26" i="1"/>
  <c r="M23" i="1"/>
  <c r="M38" i="1"/>
  <c r="M25" i="1"/>
  <c r="M15" i="1"/>
  <c r="M18" i="1"/>
  <c r="M44" i="1"/>
  <c r="M6" i="1"/>
  <c r="M13" i="1"/>
  <c r="M20" i="1"/>
  <c r="M19" i="1"/>
  <c r="M35" i="1"/>
  <c r="M4" i="1"/>
  <c r="M24" i="1"/>
  <c r="M30" i="1"/>
  <c r="M16" i="1"/>
  <c r="M14" i="1"/>
  <c r="M28" i="1"/>
  <c r="M17" i="1"/>
  <c r="M36" i="1"/>
  <c r="M32" i="1"/>
  <c r="K48" i="1"/>
  <c r="L48" i="1"/>
  <c r="M48" i="1" l="1"/>
</calcChain>
</file>

<file path=xl/sharedStrings.xml><?xml version="1.0" encoding="utf-8"?>
<sst xmlns="http://schemas.openxmlformats.org/spreadsheetml/2006/main" count="161" uniqueCount="52">
  <si>
    <t>Summer Subsidies</t>
  </si>
  <si>
    <t>Items:</t>
  </si>
  <si>
    <t>Profit</t>
  </si>
  <si>
    <t>Xbox One 500</t>
  </si>
  <si>
    <t>Xbox One 1TB</t>
  </si>
  <si>
    <t>X</t>
  </si>
  <si>
    <t>Ebay (Sell)</t>
  </si>
  <si>
    <t>Marketplace(Sell)</t>
  </si>
  <si>
    <t>Ebay(Buy)</t>
  </si>
  <si>
    <t>Marketplace(Buy)</t>
  </si>
  <si>
    <t xml:space="preserve">Jazzmaster </t>
  </si>
  <si>
    <t>Gore Tex Jacket</t>
  </si>
  <si>
    <t>Weight Set</t>
  </si>
  <si>
    <t>Misc</t>
  </si>
  <si>
    <t>Old phones</t>
  </si>
  <si>
    <t>COGS</t>
  </si>
  <si>
    <t>Net Price</t>
  </si>
  <si>
    <t>Calculator</t>
  </si>
  <si>
    <t>INQ Pen</t>
  </si>
  <si>
    <t>Google Nest Thermo 2x w/o bolts</t>
  </si>
  <si>
    <t>Google Nest Thermo 2x sealed</t>
  </si>
  <si>
    <t>Amazon cube</t>
  </si>
  <si>
    <t>Bose Headphones</t>
  </si>
  <si>
    <t>FIFA Charger</t>
  </si>
  <si>
    <t>FIFA Monster thing</t>
  </si>
  <si>
    <t xml:space="preserve">Airpods for parts </t>
  </si>
  <si>
    <t xml:space="preserve">nest mini and google plug </t>
  </si>
  <si>
    <t xml:space="preserve">Echo Dot </t>
  </si>
  <si>
    <t>Used</t>
  </si>
  <si>
    <t>New</t>
  </si>
  <si>
    <t>Turnaround Time (in days)</t>
  </si>
  <si>
    <t>Fluke 87v and case Pt2</t>
  </si>
  <si>
    <t xml:space="preserve">Fluke 87V and case pt 3 </t>
  </si>
  <si>
    <t xml:space="preserve">Fluke 117 and small thing </t>
  </si>
  <si>
    <t>Fluke 87v and case</t>
  </si>
  <si>
    <t xml:space="preserve">Fluke 87v </t>
  </si>
  <si>
    <t xml:space="preserve">Fluke 87v/177 </t>
  </si>
  <si>
    <t>Fluke 117</t>
  </si>
  <si>
    <t>Fluke 87v and case pt 4</t>
  </si>
  <si>
    <t>Fluke 88v</t>
  </si>
  <si>
    <t>Fluke 1507</t>
  </si>
  <si>
    <t>Fluke 393 fc</t>
  </si>
  <si>
    <t>Fluke 1587 fc</t>
  </si>
  <si>
    <t>Fluke 283 fc</t>
  </si>
  <si>
    <t>Fluke 789 process meter</t>
  </si>
  <si>
    <t>Fluke 3000 FC wireless</t>
  </si>
  <si>
    <t>Fluke 125B</t>
  </si>
  <si>
    <t>Fluke 773 Milliamp process clamp</t>
  </si>
  <si>
    <t>Fluke 789 process meter pt 2</t>
  </si>
  <si>
    <t>Fluke 1507 pt 2</t>
  </si>
  <si>
    <t>Fluke 87V E2 combo</t>
  </si>
  <si>
    <t>Fluke 773 Milliamp process clamp pt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</si>
</sst>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2"/>
      <color theme="1"/>
      <name val="Aptos Narrow"/>
      <family val="2"/>
      <scheme val="minor"/>
    </font>
    <font>
      <sz val="18"/>
      <color theme="1"/>
      <name val="Aptos Narrow (Body)"/>
    </font>
    <font>
      <sz val="8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 (Body)"/>
    </font>
    <font>
      <b/>
      <sz val="12"/>
      <color theme="1"/>
      <name val="Aptos Narrow"/>
      <scheme val="minor"/>
    </font>
    <font>
      <b/>
      <sz val="12"/>
      <color rgb="FFC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D393B"/>
        <bgColor indexed="64"/>
      </patternFill>
    </fill>
  </fills>
  <borders count="2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theme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theme="1"/>
      </top>
      <bottom style="double">
        <color theme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double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indexed="64"/>
      </right>
      <top style="thin">
        <color rgb="FF3F3F3F"/>
      </top>
      <bottom/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rgb="FF3F3F3F"/>
      </top>
      <bottom style="thin">
        <color rgb="FF3F3F3F"/>
      </bottom>
      <diagonal/>
    </border>
    <border>
      <left/>
      <right style="double">
        <color indexed="64"/>
      </right>
      <top style="thin">
        <color rgb="FF3F3F3F"/>
      </top>
      <bottom/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/>
    <xf numFmtId="0" fontId="0" fillId="3" borderId="7" xfId="0" applyFill="1" applyBorder="1"/>
    <xf numFmtId="0" fontId="0" fillId="3" borderId="8" xfId="0" applyFill="1" applyBorder="1"/>
    <xf numFmtId="164" fontId="3" fillId="2" borderId="11" xfId="1" applyNumberFormat="1" applyBorder="1" applyAlignment="1">
      <alignment horizontal="center"/>
    </xf>
    <xf numFmtId="164" fontId="3" fillId="2" borderId="12" xfId="1" applyNumberForma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6" fillId="6" borderId="0" xfId="0" applyFont="1" applyFill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164" fontId="3" fillId="2" borderId="18" xfId="1" applyNumberFormat="1" applyBorder="1" applyAlignment="1">
      <alignment horizontal="center"/>
    </xf>
    <xf numFmtId="164" fontId="3" fillId="2" borderId="19" xfId="1" applyNumberFormat="1" applyBorder="1" applyAlignment="1">
      <alignment horizontal="center"/>
    </xf>
    <xf numFmtId="164" fontId="3" fillId="2" borderId="15" xfId="1" applyNumberFormat="1" applyBorder="1"/>
    <xf numFmtId="164" fontId="3" fillId="2" borderId="16" xfId="1" applyNumberFormat="1" applyBorder="1"/>
    <xf numFmtId="164" fontId="0" fillId="0" borderId="17" xfId="0" applyNumberFormat="1" applyBorder="1"/>
    <xf numFmtId="0" fontId="6" fillId="0" borderId="0" xfId="0" applyFont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/>
    </xf>
    <xf numFmtId="164" fontId="3" fillId="2" borderId="1" xfId="1" applyNumberFormat="1" applyAlignment="1">
      <alignment horizontal="center"/>
    </xf>
    <xf numFmtId="164" fontId="3" fillId="2" borderId="15" xfId="1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/>
    </xf>
    <xf numFmtId="164" fontId="3" fillId="2" borderId="1" xfId="1" applyNumberFormat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26">
    <dxf>
      <font>
        <color rgb="FF9C0006"/>
      </font>
      <fill>
        <patternFill>
          <bgColor rgb="FFFFC7CE"/>
        </patternFill>
      </fill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/>
        <right style="double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&quot;$&quot;#,##0.00"/>
      <border diagonalUp="0" diagonalDown="0" outline="0">
        <left/>
        <right style="double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 style="thin">
          <color theme="1"/>
        </top>
        <bottom style="double">
          <color theme="1"/>
        </bottom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>
        <right style="double">
          <color indexed="64"/>
        </right>
        <vertical/>
      </border>
    </dxf>
    <dxf>
      <numFmt numFmtId="164" formatCode="&quot;$&quot;#,##0.00"/>
      <border diagonalUp="0" diagonalDown="0">
        <right style="double">
          <color indexed="64"/>
        </right>
        <vertical/>
      </border>
    </dxf>
    <dxf>
      <numFmt numFmtId="164" formatCode="&quot;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double">
          <color indexed="64"/>
        </right>
      </border>
    </dxf>
    <dxf>
      <font>
        <b/>
      </font>
      <fill>
        <patternFill patternType="solid">
          <fgColor indexed="64"/>
          <bgColor rgb="FF00FFB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/>
        <bottom/>
      </border>
    </dxf>
    <dxf>
      <font>
        <b/>
      </font>
      <fill>
        <patternFill patternType="solid">
          <fgColor indexed="64"/>
          <bgColor rgb="FF00FFB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rgb="FFED393B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rgb="FFED393B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rgb="FFED393B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border>
        <top style="thin">
          <color indexed="64"/>
        </top>
      </border>
    </dxf>
  </dxfs>
  <tableStyles count="0" defaultTableStyle="TableStyleMedium2" defaultPivotStyle="PivotStyleLight16"/>
  <colors>
    <mruColors>
      <color rgb="FFED393B"/>
      <color rgb="FFFF3B46"/>
      <color rgb="FF00FFBF"/>
      <color rgb="FFFFAE65"/>
      <color rgb="FFFF1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B0420-2637-6A47-B923-302F8B9B786B}" name="Money" displayName="Money" ref="B3:M48" insertRowShift="1" totalsRowCount="1" totalsRowBorderDxfId="25">
  <autoFilter ref="B3:M47" xr:uid="{59CB0420-2637-6A47-B923-302F8B9B786B}"/>
  <sortState xmlns:xlrd2="http://schemas.microsoft.com/office/spreadsheetml/2017/richdata2" ref="B4:M47">
    <sortCondition ref="M3:M47"/>
  </sortState>
  <tableColumns count="12">
    <tableColumn id="1" xr3:uid="{A291508A-4A6C-344A-A658-4CE8329146BE}" name="Items:" totalsRowFunction="count" dataDxfId="24" totalsRowDxfId="12"/>
    <tableColumn id="9" xr3:uid="{EBE0BB1F-60AF-6A41-A74D-E0BC994C3B3A}" name="Misc" totalsRowFunction="custom" dataDxfId="23" totalsRowDxfId="11">
      <totalsRowFormula>COUNTIF(Money[Misc],"X")</totalsRowFormula>
    </tableColumn>
    <tableColumn id="7" xr3:uid="{C995F8CD-D1A9-A843-B03B-3DD6155DED21}" name="Ebay(Buy)" totalsRowFunction="custom" dataDxfId="22" totalsRowDxfId="10">
      <totalsRowFormula>COUNTIF(Money[Ebay(Buy)], "X")</totalsRowFormula>
    </tableColumn>
    <tableColumn id="8" xr3:uid="{4E529002-5D89-5D4E-B779-8C65734C484A}" name="Marketplace(Buy)" totalsRowFunction="custom" dataDxfId="21" totalsRowDxfId="9">
      <totalsRowFormula>COUNTIF(Money[Marketplace(Buy)],"X")</totalsRowFormula>
    </tableColumn>
    <tableColumn id="2" xr3:uid="{BE8EEE41-22FA-0247-8257-48DB969499E3}" name="Ebay (Sell)" totalsRowFunction="custom" dataDxfId="20" totalsRowDxfId="8">
      <totalsRowFormula>COUNTIF(Money[Ebay (Sell)], "X")</totalsRowFormula>
    </tableColumn>
    <tableColumn id="3" xr3:uid="{055F168F-482A-C640-9EA3-306D76DD6FF8}" name="Marketplace(Sell)" totalsRowFunction="custom" dataDxfId="19" totalsRowDxfId="7">
      <totalsRowFormula>COUNTIF(Money[Marketplace(Sell)], "X")</totalsRowFormula>
    </tableColumn>
    <tableColumn id="13" xr3:uid="{0CFAD7D3-5ECB-1849-AF9E-11FA4E2D6083}" name="Used" totalsRowFunction="custom" dataDxfId="18" totalsRowDxfId="6">
      <totalsRowFormula>COUNTIF(Money[Used], "X")</totalsRowFormula>
    </tableColumn>
    <tableColumn id="12" xr3:uid="{B9AB18E4-C322-D74F-A3A3-2B435452BD73}" name="New" totalsRowFunction="custom" dataDxfId="17" totalsRowDxfId="5">
      <totalsRowFormula>COUNTIF(Money[New], "X")</totalsRowFormula>
    </tableColumn>
    <tableColumn id="11" xr3:uid="{9E99BE8E-7BC5-CC47-92A7-D1D8D339FA45}" name="Turnaround Time (in days)" dataDxfId="16" totalsRowDxfId="4"/>
    <tableColumn id="4" xr3:uid="{8DFD0356-9C38-9947-8427-CCDF1DDB94EF}" name="COGS" totalsRowFunction="custom" dataDxfId="15" totalsRowDxfId="3" dataCellStyle="Output">
      <totalsRowFormula>SUM(Money[COGS])</totalsRowFormula>
    </tableColumn>
    <tableColumn id="5" xr3:uid="{1B2E7A6E-5F89-2F44-BF57-8F8873CA1FC5}" name="Net Price" totalsRowFunction="custom" dataDxfId="14" totalsRowDxfId="2" dataCellStyle="Output">
      <totalsRowFormula>SUM(Money[Net Price])</totalsRowFormula>
    </tableColumn>
    <tableColumn id="6" xr3:uid="{CCB01504-8690-8E40-A386-F2500474509A}" name="Profit" totalsRowFunction="custom" dataDxfId="13" totalsRowDxfId="1" dataCellStyle="Output">
      <calculatedColumnFormula>Money[[#This Row],[Net Price]]-Money[[#This Row],[COGS]]</calculatedColumnFormula>
      <totalsRowFormula>SUM(Money[Profit])</totalsRowFormula>
    </tableColumn>
  </tableColumns>
  <tableStyleInfo name="TableStyleLight8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15F6-3FA8-FE4B-BBE2-C56F4A1E7A1F}">
  <dimension ref="B2:T54"/>
  <sheetViews>
    <sheetView tabSelected="1" topLeftCell="G15" zoomScale="83" workbookViewId="0">
      <selection activeCell="G30" sqref="G30"/>
    </sheetView>
  </sheetViews>
  <sheetFormatPr baseColWidth="10" defaultRowHeight="16" x14ac:dyDescent="0.2"/>
  <cols>
    <col min="2" max="2" width="34.1640625" bestFit="1" customWidth="1"/>
    <col min="3" max="9" width="24" style="3" customWidth="1"/>
    <col min="10" max="10" width="28.6640625" style="3" bestFit="1" customWidth="1"/>
    <col min="11" max="11" width="11.33203125" style="3" bestFit="1" customWidth="1"/>
    <col min="12" max="12" width="14.33203125" bestFit="1" customWidth="1"/>
    <col min="13" max="13" width="11.6640625" style="3" bestFit="1" customWidth="1"/>
    <col min="14" max="14" width="11.1640625" customWidth="1"/>
    <col min="15" max="15" width="13.5" customWidth="1"/>
  </cols>
  <sheetData>
    <row r="2" spans="2:20" ht="24" x14ac:dyDescent="0.3">
      <c r="B2" s="1" t="s">
        <v>0</v>
      </c>
      <c r="D2" s="2"/>
      <c r="E2" s="2"/>
      <c r="F2" s="2"/>
      <c r="G2" s="2"/>
      <c r="H2" s="2"/>
      <c r="I2" s="2"/>
      <c r="J2" s="2"/>
      <c r="N2" s="2"/>
    </row>
    <row r="3" spans="2:20" x14ac:dyDescent="0.2">
      <c r="B3" t="s">
        <v>1</v>
      </c>
      <c r="C3" s="3" t="s">
        <v>13</v>
      </c>
      <c r="D3" s="3" t="s">
        <v>8</v>
      </c>
      <c r="E3" s="3" t="s">
        <v>9</v>
      </c>
      <c r="F3" s="3" t="s">
        <v>6</v>
      </c>
      <c r="G3" s="3" t="s">
        <v>7</v>
      </c>
      <c r="H3" s="3" t="s">
        <v>28</v>
      </c>
      <c r="I3" s="3" t="s">
        <v>29</v>
      </c>
      <c r="J3" s="3" t="s">
        <v>30</v>
      </c>
      <c r="K3" s="3" t="s">
        <v>15</v>
      </c>
      <c r="L3" s="3" t="s">
        <v>16</v>
      </c>
      <c r="M3" s="3" t="s">
        <v>2</v>
      </c>
    </row>
    <row r="4" spans="2:20" x14ac:dyDescent="0.2">
      <c r="B4" s="6" t="s">
        <v>31</v>
      </c>
      <c r="C4" s="15"/>
      <c r="D4" s="15" t="s">
        <v>5</v>
      </c>
      <c r="E4" s="16"/>
      <c r="F4" s="17"/>
      <c r="G4" s="18"/>
      <c r="H4" s="19" t="s">
        <v>5</v>
      </c>
      <c r="I4" s="20"/>
      <c r="J4" s="10"/>
      <c r="K4" s="8">
        <v>222.77</v>
      </c>
      <c r="L4" s="30">
        <v>0</v>
      </c>
      <c r="M4" s="28">
        <f>Money[[#This Row],[Net Price]]-Money[[#This Row],[COGS]]</f>
        <v>-222.77</v>
      </c>
    </row>
    <row r="5" spans="2:20" x14ac:dyDescent="0.2">
      <c r="B5" s="6" t="s">
        <v>32</v>
      </c>
      <c r="C5" s="15"/>
      <c r="D5" s="15"/>
      <c r="E5" s="27" t="s">
        <v>5</v>
      </c>
      <c r="F5" s="17"/>
      <c r="G5" s="18"/>
      <c r="H5" s="19"/>
      <c r="I5" s="20" t="s">
        <v>5</v>
      </c>
      <c r="J5" s="11"/>
      <c r="K5" s="8">
        <v>220</v>
      </c>
      <c r="L5" s="30">
        <v>0</v>
      </c>
      <c r="M5" s="28">
        <f>Money[[#This Row],[Net Price]]-Money[[#This Row],[COGS]]</f>
        <v>-220</v>
      </c>
      <c r="N5" s="5"/>
    </row>
    <row r="6" spans="2:20" x14ac:dyDescent="0.2">
      <c r="B6" s="6" t="s">
        <v>25</v>
      </c>
      <c r="C6" s="15" t="s">
        <v>5</v>
      </c>
      <c r="D6" s="15"/>
      <c r="E6" s="16"/>
      <c r="F6" s="17"/>
      <c r="G6" s="18"/>
      <c r="H6" s="19" t="s">
        <v>5</v>
      </c>
      <c r="I6" s="20"/>
      <c r="J6" s="11"/>
      <c r="K6" s="8">
        <v>0</v>
      </c>
      <c r="L6" s="30">
        <v>0</v>
      </c>
      <c r="M6" s="28">
        <f>Money[[#This Row],[Net Price]]-Money[[#This Row],[COGS]]</f>
        <v>0</v>
      </c>
    </row>
    <row r="7" spans="2:20" x14ac:dyDescent="0.2">
      <c r="B7" s="6"/>
      <c r="C7" s="15"/>
      <c r="D7" s="15"/>
      <c r="E7" s="16"/>
      <c r="F7" s="17"/>
      <c r="G7" s="18"/>
      <c r="H7" s="19"/>
      <c r="I7" s="20"/>
      <c r="J7" s="11"/>
      <c r="K7" s="8">
        <v>0</v>
      </c>
      <c r="L7" s="30">
        <v>0</v>
      </c>
      <c r="M7" s="28">
        <f>Money[[#This Row],[Net Price]]-Money[[#This Row],[COGS]]</f>
        <v>0</v>
      </c>
      <c r="T7" s="5"/>
    </row>
    <row r="8" spans="2:20" x14ac:dyDescent="0.2">
      <c r="B8" s="6"/>
      <c r="C8" s="15"/>
      <c r="D8" s="15"/>
      <c r="E8" s="16"/>
      <c r="F8" s="17"/>
      <c r="G8" s="38"/>
      <c r="H8" s="19"/>
      <c r="I8" s="20"/>
      <c r="J8" s="39"/>
      <c r="K8" s="40">
        <v>0</v>
      </c>
      <c r="L8" s="30">
        <v>0</v>
      </c>
      <c r="M8" s="41">
        <f>Money[[#This Row],[Net Price]]-Money[[#This Row],[COGS]]</f>
        <v>0</v>
      </c>
      <c r="T8" s="5"/>
    </row>
    <row r="9" spans="2:20" x14ac:dyDescent="0.2">
      <c r="B9" s="6"/>
      <c r="C9" s="15"/>
      <c r="D9" s="15"/>
      <c r="E9" s="16"/>
      <c r="F9" s="17"/>
      <c r="G9" s="38"/>
      <c r="H9" s="19"/>
      <c r="I9" s="20"/>
      <c r="J9" s="39"/>
      <c r="K9" s="40">
        <v>0</v>
      </c>
      <c r="L9" s="30">
        <v>0</v>
      </c>
      <c r="M9" s="41">
        <f>Money[[#This Row],[Net Price]]-Money[[#This Row],[COGS]]</f>
        <v>0</v>
      </c>
      <c r="T9" s="5"/>
    </row>
    <row r="10" spans="2:20" x14ac:dyDescent="0.2">
      <c r="B10" s="6"/>
      <c r="C10" s="15"/>
      <c r="D10" s="15"/>
      <c r="E10" s="16"/>
      <c r="F10" s="17"/>
      <c r="G10" s="38"/>
      <c r="H10" s="19"/>
      <c r="I10" s="20"/>
      <c r="J10" s="39"/>
      <c r="K10" s="40">
        <v>0</v>
      </c>
      <c r="L10" s="30">
        <v>0</v>
      </c>
      <c r="M10" s="41">
        <f>Money[[#This Row],[Net Price]]-Money[[#This Row],[COGS]]</f>
        <v>0</v>
      </c>
      <c r="T10" s="5"/>
    </row>
    <row r="11" spans="2:20" x14ac:dyDescent="0.2">
      <c r="B11" s="6"/>
      <c r="C11" s="15"/>
      <c r="D11" s="15"/>
      <c r="E11" s="16"/>
      <c r="F11" s="17"/>
      <c r="G11" s="38"/>
      <c r="H11" s="19"/>
      <c r="I11" s="20"/>
      <c r="J11" s="39"/>
      <c r="K11" s="40">
        <v>0</v>
      </c>
      <c r="L11" s="30">
        <v>0</v>
      </c>
      <c r="M11" s="41">
        <f>Money[[#This Row],[Net Price]]-Money[[#This Row],[COGS]]</f>
        <v>0</v>
      </c>
      <c r="T11" s="5"/>
    </row>
    <row r="12" spans="2:20" x14ac:dyDescent="0.2">
      <c r="B12" s="6"/>
      <c r="C12" s="15"/>
      <c r="D12" s="15"/>
      <c r="E12" s="16"/>
      <c r="F12" s="17"/>
      <c r="G12" s="38"/>
      <c r="H12" s="19"/>
      <c r="I12" s="20"/>
      <c r="J12" s="39"/>
      <c r="K12" s="40">
        <v>0</v>
      </c>
      <c r="L12" s="30">
        <v>0</v>
      </c>
      <c r="M12" s="41">
        <f>Money[[#This Row],[Net Price]]-Money[[#This Row],[COGS]]</f>
        <v>0</v>
      </c>
      <c r="T12" s="5"/>
    </row>
    <row r="13" spans="2:20" x14ac:dyDescent="0.2">
      <c r="B13" s="6" t="s">
        <v>33</v>
      </c>
      <c r="C13" s="15"/>
      <c r="D13" s="15"/>
      <c r="E13" s="16" t="s">
        <v>5</v>
      </c>
      <c r="F13" s="17" t="s">
        <v>5</v>
      </c>
      <c r="G13" s="18"/>
      <c r="H13" s="19" t="s">
        <v>5</v>
      </c>
      <c r="I13" s="20"/>
      <c r="J13" s="42">
        <v>5</v>
      </c>
      <c r="K13" s="46">
        <v>110</v>
      </c>
      <c r="L13" s="30">
        <v>133.53</v>
      </c>
      <c r="M13" s="41">
        <f>Money[[#This Row],[Net Price]]-Money[[#This Row],[COGS]]</f>
        <v>23.53</v>
      </c>
      <c r="T13" s="5"/>
    </row>
    <row r="14" spans="2:20" x14ac:dyDescent="0.2">
      <c r="B14" s="6" t="s">
        <v>26</v>
      </c>
      <c r="C14" s="15"/>
      <c r="D14" s="15"/>
      <c r="E14" s="16" t="s">
        <v>5</v>
      </c>
      <c r="F14" s="17" t="s">
        <v>5</v>
      </c>
      <c r="G14" s="18"/>
      <c r="H14" s="19"/>
      <c r="I14" s="20" t="s">
        <v>5</v>
      </c>
      <c r="J14" s="11">
        <v>1</v>
      </c>
      <c r="K14" s="8">
        <v>25</v>
      </c>
      <c r="L14" s="30">
        <v>50.49</v>
      </c>
      <c r="M14" s="28">
        <f>Money[[#This Row],[Net Price]]-Money[[#This Row],[COGS]]</f>
        <v>25.490000000000002</v>
      </c>
      <c r="T14" s="5"/>
    </row>
    <row r="15" spans="2:20" x14ac:dyDescent="0.2">
      <c r="B15" s="6" t="s">
        <v>27</v>
      </c>
      <c r="C15" s="15" t="s">
        <v>5</v>
      </c>
      <c r="D15" s="15"/>
      <c r="E15" s="16"/>
      <c r="F15" s="17" t="s">
        <v>5</v>
      </c>
      <c r="G15" s="18"/>
      <c r="H15" s="19"/>
      <c r="I15" s="20" t="s">
        <v>5</v>
      </c>
      <c r="J15" s="42">
        <v>2</v>
      </c>
      <c r="K15" s="46">
        <v>0</v>
      </c>
      <c r="L15" s="30">
        <v>30.94</v>
      </c>
      <c r="M15" s="41">
        <f>Money[[#This Row],[Net Price]]-Money[[#This Row],[COGS]]</f>
        <v>30.94</v>
      </c>
      <c r="T15" s="5"/>
    </row>
    <row r="16" spans="2:20" x14ac:dyDescent="0.2">
      <c r="B16" s="6" t="s">
        <v>21</v>
      </c>
      <c r="C16" s="15"/>
      <c r="D16" s="15"/>
      <c r="E16" s="16" t="s">
        <v>5</v>
      </c>
      <c r="F16" s="17" t="s">
        <v>5</v>
      </c>
      <c r="G16" s="18"/>
      <c r="H16" s="19"/>
      <c r="I16" s="20" t="s">
        <v>5</v>
      </c>
      <c r="J16" s="42">
        <v>2</v>
      </c>
      <c r="K16" s="46">
        <v>30</v>
      </c>
      <c r="L16" s="30">
        <v>64.69</v>
      </c>
      <c r="M16" s="41">
        <f>Money[[#This Row],[Net Price]]-Money[[#This Row],[COGS]]</f>
        <v>34.69</v>
      </c>
      <c r="T16" s="5"/>
    </row>
    <row r="17" spans="2:20" x14ac:dyDescent="0.2">
      <c r="B17" s="6" t="s">
        <v>23</v>
      </c>
      <c r="C17" s="15" t="s">
        <v>5</v>
      </c>
      <c r="D17" s="15"/>
      <c r="E17" s="16"/>
      <c r="F17" s="17" t="s">
        <v>5</v>
      </c>
      <c r="G17" s="18"/>
      <c r="H17" s="19"/>
      <c r="I17" s="20" t="s">
        <v>5</v>
      </c>
      <c r="J17" s="42">
        <v>3</v>
      </c>
      <c r="K17" s="46">
        <v>0</v>
      </c>
      <c r="L17" s="30">
        <v>36.5</v>
      </c>
      <c r="M17" s="41">
        <f>Money[[#This Row],[Net Price]]-Money[[#This Row],[COGS]]</f>
        <v>36.5</v>
      </c>
      <c r="T17" s="5"/>
    </row>
    <row r="18" spans="2:20" x14ac:dyDescent="0.2">
      <c r="B18" s="6" t="s">
        <v>11</v>
      </c>
      <c r="C18" s="15" t="s">
        <v>5</v>
      </c>
      <c r="D18" s="15"/>
      <c r="E18" s="16"/>
      <c r="F18" s="17" t="s">
        <v>5</v>
      </c>
      <c r="G18" s="18"/>
      <c r="H18" s="19" t="s">
        <v>5</v>
      </c>
      <c r="I18" s="20"/>
      <c r="J18" s="42">
        <v>4</v>
      </c>
      <c r="K18" s="46">
        <v>0</v>
      </c>
      <c r="L18" s="30">
        <v>39.33</v>
      </c>
      <c r="M18" s="41">
        <f>Money[[#This Row],[Net Price]]-Money[[#This Row],[COGS]]</f>
        <v>39.33</v>
      </c>
      <c r="T18" s="5"/>
    </row>
    <row r="19" spans="2:20" x14ac:dyDescent="0.2">
      <c r="B19" s="6" t="s">
        <v>14</v>
      </c>
      <c r="C19" s="15" t="s">
        <v>5</v>
      </c>
      <c r="D19" s="15"/>
      <c r="E19" s="16"/>
      <c r="F19" s="17" t="s">
        <v>5</v>
      </c>
      <c r="G19" s="18"/>
      <c r="H19" s="19" t="s">
        <v>5</v>
      </c>
      <c r="I19" s="20"/>
      <c r="J19" s="11">
        <v>1</v>
      </c>
      <c r="K19" s="8">
        <v>0</v>
      </c>
      <c r="L19" s="30">
        <v>40.85</v>
      </c>
      <c r="M19" s="28">
        <f>Money[[#This Row],[Net Price]]-Money[[#This Row],[COGS]]</f>
        <v>40.85</v>
      </c>
      <c r="T19" s="5"/>
    </row>
    <row r="20" spans="2:20" x14ac:dyDescent="0.2">
      <c r="B20" s="6" t="s">
        <v>34</v>
      </c>
      <c r="C20" s="15"/>
      <c r="D20" s="15" t="s">
        <v>5</v>
      </c>
      <c r="E20" s="16"/>
      <c r="F20" s="17" t="s">
        <v>5</v>
      </c>
      <c r="G20" s="18"/>
      <c r="H20" s="19" t="s">
        <v>5</v>
      </c>
      <c r="I20" s="20"/>
      <c r="J20" s="11">
        <v>3</v>
      </c>
      <c r="K20" s="8">
        <v>249.51</v>
      </c>
      <c r="L20" s="30">
        <v>291.05</v>
      </c>
      <c r="M20" s="28">
        <f>Money[[#This Row],[Net Price]]-Money[[#This Row],[COGS]]</f>
        <v>41.54000000000002</v>
      </c>
      <c r="T20" s="5"/>
    </row>
    <row r="21" spans="2:20" x14ac:dyDescent="0.2">
      <c r="B21" s="6" t="s">
        <v>24</v>
      </c>
      <c r="C21" s="15" t="s">
        <v>5</v>
      </c>
      <c r="D21" s="15"/>
      <c r="E21" s="16"/>
      <c r="F21" s="17" t="s">
        <v>5</v>
      </c>
      <c r="G21" s="18"/>
      <c r="H21" s="19"/>
      <c r="I21" s="20" t="s">
        <v>5</v>
      </c>
      <c r="J21" s="11">
        <v>3</v>
      </c>
      <c r="K21" s="8">
        <v>0</v>
      </c>
      <c r="L21" s="30">
        <v>48.08</v>
      </c>
      <c r="M21" s="28">
        <f>Money[[#This Row],[Net Price]]-Money[[#This Row],[COGS]]</f>
        <v>48.08</v>
      </c>
      <c r="T21" s="5"/>
    </row>
    <row r="22" spans="2:20" x14ac:dyDescent="0.2">
      <c r="B22" s="6" t="s">
        <v>3</v>
      </c>
      <c r="C22" s="15" t="s">
        <v>5</v>
      </c>
      <c r="D22" s="21"/>
      <c r="E22" s="22"/>
      <c r="F22" s="17"/>
      <c r="G22" s="18" t="s">
        <v>5</v>
      </c>
      <c r="H22" s="19" t="s">
        <v>5</v>
      </c>
      <c r="I22" s="20"/>
      <c r="J22" s="11">
        <v>7</v>
      </c>
      <c r="K22" s="8">
        <v>0</v>
      </c>
      <c r="L22" s="30">
        <v>50</v>
      </c>
      <c r="M22" s="28">
        <f>Money[[#This Row],[Net Price]]-Money[[#This Row],[COGS]]</f>
        <v>50</v>
      </c>
      <c r="T22" s="5"/>
    </row>
    <row r="23" spans="2:20" x14ac:dyDescent="0.2">
      <c r="B23" s="6" t="s">
        <v>19</v>
      </c>
      <c r="C23" s="15"/>
      <c r="D23" s="37"/>
      <c r="E23" s="16" t="s">
        <v>5</v>
      </c>
      <c r="F23" s="17" t="s">
        <v>5</v>
      </c>
      <c r="G23" s="18"/>
      <c r="H23" s="19" t="s">
        <v>5</v>
      </c>
      <c r="I23" s="20"/>
      <c r="J23" s="11">
        <v>2</v>
      </c>
      <c r="K23" s="8">
        <v>100</v>
      </c>
      <c r="L23" s="30">
        <v>153.97999999999999</v>
      </c>
      <c r="M23" s="28">
        <f>Money[[#This Row],[Net Price]]-Money[[#This Row],[COGS]]</f>
        <v>53.97999999999999</v>
      </c>
      <c r="T23" s="5"/>
    </row>
    <row r="24" spans="2:20" x14ac:dyDescent="0.2">
      <c r="B24" s="6" t="s">
        <v>18</v>
      </c>
      <c r="C24" s="15" t="s">
        <v>5</v>
      </c>
      <c r="D24" s="15"/>
      <c r="E24" s="16"/>
      <c r="F24" s="17" t="s">
        <v>5</v>
      </c>
      <c r="G24" s="18"/>
      <c r="H24" s="19"/>
      <c r="I24" s="20" t="s">
        <v>5</v>
      </c>
      <c r="J24" s="11">
        <v>4</v>
      </c>
      <c r="K24" s="8">
        <v>0</v>
      </c>
      <c r="L24" s="30">
        <v>57.89</v>
      </c>
      <c r="M24" s="28">
        <f>Money[[#This Row],[Net Price]]-Money[[#This Row],[COGS]]</f>
        <v>57.89</v>
      </c>
    </row>
    <row r="25" spans="2:20" x14ac:dyDescent="0.2">
      <c r="B25" s="6" t="s">
        <v>10</v>
      </c>
      <c r="C25" s="15"/>
      <c r="D25" s="15"/>
      <c r="E25" s="16" t="s">
        <v>5</v>
      </c>
      <c r="F25" s="17"/>
      <c r="G25" s="18"/>
      <c r="H25" s="19"/>
      <c r="I25" s="20" t="s">
        <v>5</v>
      </c>
      <c r="J25" s="11">
        <v>30</v>
      </c>
      <c r="K25" s="8">
        <v>400</v>
      </c>
      <c r="L25" s="30">
        <v>460</v>
      </c>
      <c r="M25" s="28">
        <f>Money[[#This Row],[Net Price]]-Money[[#This Row],[COGS]]</f>
        <v>60</v>
      </c>
    </row>
    <row r="26" spans="2:20" x14ac:dyDescent="0.2">
      <c r="B26" s="6" t="s">
        <v>4</v>
      </c>
      <c r="C26" s="15" t="s">
        <v>5</v>
      </c>
      <c r="D26" s="21"/>
      <c r="E26" s="22"/>
      <c r="F26" s="17"/>
      <c r="G26" s="18" t="s">
        <v>5</v>
      </c>
      <c r="H26" s="19" t="s">
        <v>5</v>
      </c>
      <c r="I26" s="20"/>
      <c r="J26" s="11">
        <v>4</v>
      </c>
      <c r="K26" s="8">
        <v>0</v>
      </c>
      <c r="L26" s="30">
        <v>60</v>
      </c>
      <c r="M26" s="28">
        <f>Money[[#This Row],[Net Price]]-Money[[#This Row],[COGS]]</f>
        <v>60</v>
      </c>
    </row>
    <row r="27" spans="2:20" x14ac:dyDescent="0.2">
      <c r="B27" s="6" t="s">
        <v>37</v>
      </c>
      <c r="C27" s="15"/>
      <c r="D27" s="37"/>
      <c r="E27" s="27" t="s">
        <v>5</v>
      </c>
      <c r="F27" s="34" t="s">
        <v>5</v>
      </c>
      <c r="G27" s="18"/>
      <c r="H27" s="19"/>
      <c r="I27" s="35" t="s">
        <v>5</v>
      </c>
      <c r="J27" s="11">
        <v>2</v>
      </c>
      <c r="K27" s="8">
        <v>100</v>
      </c>
      <c r="L27" s="30">
        <v>163.47</v>
      </c>
      <c r="M27" s="28">
        <f>Money[[#This Row],[Net Price]]-Money[[#This Row],[COGS]]</f>
        <v>63.47</v>
      </c>
      <c r="T27" s="5"/>
    </row>
    <row r="28" spans="2:20" x14ac:dyDescent="0.2">
      <c r="B28" s="6" t="s">
        <v>22</v>
      </c>
      <c r="C28" s="15" t="s">
        <v>5</v>
      </c>
      <c r="D28" s="37"/>
      <c r="E28" s="16"/>
      <c r="F28" s="17" t="s">
        <v>5</v>
      </c>
      <c r="G28" s="18"/>
      <c r="H28" s="19"/>
      <c r="I28" s="20" t="s">
        <v>5</v>
      </c>
      <c r="J28" s="11">
        <v>2</v>
      </c>
      <c r="K28" s="8">
        <v>0</v>
      </c>
      <c r="L28" s="30">
        <v>67.97</v>
      </c>
      <c r="M28" s="28">
        <f>Money[[#This Row],[Net Price]]-Money[[#This Row],[COGS]]</f>
        <v>67.97</v>
      </c>
    </row>
    <row r="29" spans="2:20" x14ac:dyDescent="0.2">
      <c r="B29" s="6" t="s">
        <v>39</v>
      </c>
      <c r="C29" s="15"/>
      <c r="D29" s="37"/>
      <c r="E29" s="27" t="s">
        <v>5</v>
      </c>
      <c r="F29" s="34" t="s">
        <v>5</v>
      </c>
      <c r="G29" s="18"/>
      <c r="H29" s="19" t="s">
        <v>5</v>
      </c>
      <c r="I29" s="20"/>
      <c r="J29" s="11">
        <v>2</v>
      </c>
      <c r="K29" s="8">
        <v>240</v>
      </c>
      <c r="L29" s="30">
        <v>310.45</v>
      </c>
      <c r="M29" s="28">
        <f>Money[[#This Row],[Net Price]]-Money[[#This Row],[COGS]]</f>
        <v>70.449999999999989</v>
      </c>
    </row>
    <row r="30" spans="2:20" x14ac:dyDescent="0.2">
      <c r="B30" s="6" t="s">
        <v>20</v>
      </c>
      <c r="C30" s="15"/>
      <c r="D30" s="37"/>
      <c r="E30" s="16" t="s">
        <v>5</v>
      </c>
      <c r="F30" s="17" t="s">
        <v>5</v>
      </c>
      <c r="G30" s="18"/>
      <c r="H30" s="19"/>
      <c r="I30" s="20" t="s">
        <v>5</v>
      </c>
      <c r="J30" s="11">
        <v>1</v>
      </c>
      <c r="K30" s="8">
        <v>175</v>
      </c>
      <c r="L30" s="30">
        <v>246.3</v>
      </c>
      <c r="M30" s="28">
        <f>Money[[#This Row],[Net Price]]-Money[[#This Row],[COGS]]</f>
        <v>71.300000000000011</v>
      </c>
    </row>
    <row r="31" spans="2:20" x14ac:dyDescent="0.2">
      <c r="B31" s="6" t="s">
        <v>38</v>
      </c>
      <c r="C31" s="15"/>
      <c r="D31" s="15"/>
      <c r="E31" s="27" t="s">
        <v>5</v>
      </c>
      <c r="F31" s="34" t="s">
        <v>5</v>
      </c>
      <c r="G31" s="18"/>
      <c r="H31" s="19"/>
      <c r="I31" s="20" t="s">
        <v>5</v>
      </c>
      <c r="J31" s="11">
        <v>1</v>
      </c>
      <c r="K31" s="8">
        <v>230</v>
      </c>
      <c r="L31" s="30">
        <v>302.33</v>
      </c>
      <c r="M31" s="28">
        <f>Money[[#This Row],[Net Price]]-Money[[#This Row],[COGS]]</f>
        <v>72.329999999999984</v>
      </c>
    </row>
    <row r="32" spans="2:20" x14ac:dyDescent="0.2">
      <c r="B32" s="6" t="s">
        <v>43</v>
      </c>
      <c r="C32" s="15"/>
      <c r="D32" s="15"/>
      <c r="E32" s="27" t="s">
        <v>5</v>
      </c>
      <c r="F32" s="34" t="s">
        <v>5</v>
      </c>
      <c r="G32" s="18"/>
      <c r="H32" s="36" t="s">
        <v>5</v>
      </c>
      <c r="I32" s="20"/>
      <c r="J32" s="11">
        <v>3</v>
      </c>
      <c r="K32" s="8">
        <v>300</v>
      </c>
      <c r="L32" s="30">
        <v>376.54</v>
      </c>
      <c r="M32" s="28">
        <f>Money[[#This Row],[Net Price]]-Money[[#This Row],[COGS]]</f>
        <v>76.54000000000002</v>
      </c>
    </row>
    <row r="33" spans="2:16" x14ac:dyDescent="0.2">
      <c r="B33" s="6" t="s">
        <v>41</v>
      </c>
      <c r="C33" s="15"/>
      <c r="D33" s="37"/>
      <c r="E33" s="27" t="s">
        <v>5</v>
      </c>
      <c r="F33" s="34" t="s">
        <v>5</v>
      </c>
      <c r="G33" s="18"/>
      <c r="H33" s="19"/>
      <c r="I33" s="35" t="s">
        <v>5</v>
      </c>
      <c r="J33" s="11">
        <v>1</v>
      </c>
      <c r="K33" s="8">
        <v>380</v>
      </c>
      <c r="L33" s="30">
        <v>456.84</v>
      </c>
      <c r="M33" s="28">
        <f>Money[[#This Row],[Net Price]]-Money[[#This Row],[COGS]]</f>
        <v>76.839999999999975</v>
      </c>
    </row>
    <row r="34" spans="2:16" x14ac:dyDescent="0.2">
      <c r="B34" s="6" t="s">
        <v>45</v>
      </c>
      <c r="C34" s="15"/>
      <c r="D34" s="15"/>
      <c r="E34" s="27" t="s">
        <v>5</v>
      </c>
      <c r="F34" s="34" t="s">
        <v>5</v>
      </c>
      <c r="G34" s="18"/>
      <c r="H34" s="36" t="s">
        <v>5</v>
      </c>
      <c r="I34" s="20"/>
      <c r="J34" s="11">
        <v>3</v>
      </c>
      <c r="K34" s="8">
        <v>380</v>
      </c>
      <c r="L34" s="30">
        <v>458.75</v>
      </c>
      <c r="M34" s="28">
        <f>Money[[#This Row],[Net Price]]-Money[[#This Row],[COGS]]</f>
        <v>78.75</v>
      </c>
    </row>
    <row r="35" spans="2:16" x14ac:dyDescent="0.2">
      <c r="B35" s="6" t="s">
        <v>17</v>
      </c>
      <c r="C35" s="15" t="s">
        <v>5</v>
      </c>
      <c r="D35" s="15"/>
      <c r="E35" s="16"/>
      <c r="F35" s="17" t="s">
        <v>5</v>
      </c>
      <c r="G35" s="18"/>
      <c r="H35" s="19"/>
      <c r="I35" s="20" t="s">
        <v>5</v>
      </c>
      <c r="J35" s="11">
        <v>3</v>
      </c>
      <c r="K35" s="8">
        <v>0</v>
      </c>
      <c r="L35" s="30">
        <v>86.52</v>
      </c>
      <c r="M35" s="28">
        <f>Money[[#This Row],[Net Price]]-Money[[#This Row],[COGS]]</f>
        <v>86.52</v>
      </c>
    </row>
    <row r="36" spans="2:16" x14ac:dyDescent="0.2">
      <c r="B36" s="6" t="s">
        <v>35</v>
      </c>
      <c r="C36" s="15"/>
      <c r="D36" s="15"/>
      <c r="E36" s="16" t="s">
        <v>5</v>
      </c>
      <c r="F36" s="17" t="s">
        <v>5</v>
      </c>
      <c r="G36" s="18"/>
      <c r="H36" s="19"/>
      <c r="I36" s="20" t="s">
        <v>5</v>
      </c>
      <c r="J36" s="11">
        <v>1</v>
      </c>
      <c r="K36" s="8">
        <v>200</v>
      </c>
      <c r="L36" s="30">
        <v>288.7</v>
      </c>
      <c r="M36" s="28">
        <f>Money[[#This Row],[Net Price]]-Money[[#This Row],[COGS]]</f>
        <v>88.699999999999989</v>
      </c>
    </row>
    <row r="37" spans="2:16" x14ac:dyDescent="0.2">
      <c r="B37" s="6" t="s">
        <v>42</v>
      </c>
      <c r="C37" s="15"/>
      <c r="D37" s="37"/>
      <c r="E37" s="27" t="s">
        <v>5</v>
      </c>
      <c r="F37" s="34" t="s">
        <v>5</v>
      </c>
      <c r="G37" s="18"/>
      <c r="H37" s="19"/>
      <c r="I37" s="35" t="s">
        <v>5</v>
      </c>
      <c r="J37" s="11">
        <v>1</v>
      </c>
      <c r="K37" s="8">
        <v>400</v>
      </c>
      <c r="L37" s="30">
        <v>489.73</v>
      </c>
      <c r="M37" s="28">
        <f>Money[[#This Row],[Net Price]]-Money[[#This Row],[COGS]]</f>
        <v>89.730000000000018</v>
      </c>
    </row>
    <row r="38" spans="2:16" x14ac:dyDescent="0.2">
      <c r="B38" s="6" t="s">
        <v>36</v>
      </c>
      <c r="C38" s="15"/>
      <c r="D38" s="23"/>
      <c r="E38" s="16" t="s">
        <v>5</v>
      </c>
      <c r="F38" s="17" t="s">
        <v>5</v>
      </c>
      <c r="G38" s="18"/>
      <c r="H38" s="19" t="s">
        <v>5</v>
      </c>
      <c r="I38" s="20"/>
      <c r="J38" s="11">
        <v>1</v>
      </c>
      <c r="K38" s="8">
        <v>200</v>
      </c>
      <c r="L38" s="30">
        <v>347.04</v>
      </c>
      <c r="M38" s="28">
        <f>Money[[#This Row],[Net Price]]-Money[[#This Row],[COGS]]</f>
        <v>147.04000000000002</v>
      </c>
    </row>
    <row r="39" spans="2:16" x14ac:dyDescent="0.2">
      <c r="B39" s="6" t="s">
        <v>49</v>
      </c>
      <c r="C39" s="15"/>
      <c r="D39" s="15"/>
      <c r="E39" s="27" t="s">
        <v>5</v>
      </c>
      <c r="F39" s="34" t="s">
        <v>5</v>
      </c>
      <c r="G39" s="38"/>
      <c r="H39" s="36" t="s">
        <v>5</v>
      </c>
      <c r="I39" s="20"/>
      <c r="J39" s="45">
        <v>2</v>
      </c>
      <c r="K39" s="8">
        <v>320</v>
      </c>
      <c r="L39" s="30">
        <v>477.98</v>
      </c>
      <c r="M39" s="28">
        <f>Money[[#This Row],[Net Price]]-Money[[#This Row],[COGS]]</f>
        <v>157.98000000000002</v>
      </c>
    </row>
    <row r="40" spans="2:16" x14ac:dyDescent="0.2">
      <c r="B40" s="6" t="s">
        <v>50</v>
      </c>
      <c r="C40" s="15"/>
      <c r="D40" s="15"/>
      <c r="E40" s="27" t="s">
        <v>5</v>
      </c>
      <c r="F40" s="34" t="s">
        <v>5</v>
      </c>
      <c r="G40" s="18"/>
      <c r="H40" s="19"/>
      <c r="I40" s="35" t="s">
        <v>5</v>
      </c>
      <c r="J40" s="11">
        <v>1</v>
      </c>
      <c r="K40" s="8">
        <v>360</v>
      </c>
      <c r="L40" s="30">
        <v>522.66999999999996</v>
      </c>
      <c r="M40" s="28">
        <f>Money[[#This Row],[Net Price]]-Money[[#This Row],[COGS]]</f>
        <v>162.66999999999996</v>
      </c>
    </row>
    <row r="41" spans="2:16" x14ac:dyDescent="0.2">
      <c r="B41" s="6" t="s">
        <v>40</v>
      </c>
      <c r="C41" s="15"/>
      <c r="D41" s="15"/>
      <c r="E41" s="27" t="s">
        <v>5</v>
      </c>
      <c r="F41" s="34" t="s">
        <v>5</v>
      </c>
      <c r="G41" s="18"/>
      <c r="H41" s="36" t="s">
        <v>5</v>
      </c>
      <c r="I41" s="20"/>
      <c r="J41" s="11">
        <v>2</v>
      </c>
      <c r="K41" s="8">
        <v>350</v>
      </c>
      <c r="L41" s="30">
        <v>524.74</v>
      </c>
      <c r="M41" s="28">
        <f>Money[[#This Row],[Net Price]]-Money[[#This Row],[COGS]]</f>
        <v>174.74</v>
      </c>
    </row>
    <row r="42" spans="2:16" x14ac:dyDescent="0.2">
      <c r="B42" s="6" t="s">
        <v>47</v>
      </c>
      <c r="C42" s="15"/>
      <c r="D42" s="15"/>
      <c r="E42" s="27" t="s">
        <v>5</v>
      </c>
      <c r="F42" s="34" t="s">
        <v>5</v>
      </c>
      <c r="G42" s="38"/>
      <c r="H42" s="19"/>
      <c r="I42" s="35" t="s">
        <v>5</v>
      </c>
      <c r="J42" s="45">
        <v>2</v>
      </c>
      <c r="K42" s="8">
        <v>1000</v>
      </c>
      <c r="L42" s="30">
        <v>1287.8699999999999</v>
      </c>
      <c r="M42" s="28">
        <f>Money[[#This Row],[Net Price]]-Money[[#This Row],[COGS]]</f>
        <v>287.86999999999989</v>
      </c>
    </row>
    <row r="43" spans="2:16" x14ac:dyDescent="0.2">
      <c r="B43" s="6" t="s">
        <v>48</v>
      </c>
      <c r="C43" s="15"/>
      <c r="D43" s="15"/>
      <c r="E43" s="27" t="s">
        <v>5</v>
      </c>
      <c r="F43" s="34"/>
      <c r="G43" s="38" t="s">
        <v>5</v>
      </c>
      <c r="H43" s="19"/>
      <c r="I43" s="35" t="s">
        <v>5</v>
      </c>
      <c r="J43" s="45">
        <v>1</v>
      </c>
      <c r="K43" s="8">
        <v>500</v>
      </c>
      <c r="L43" s="30">
        <v>800</v>
      </c>
      <c r="M43" s="28">
        <f>Money[[#This Row],[Net Price]]-Money[[#This Row],[COGS]]</f>
        <v>300</v>
      </c>
    </row>
    <row r="44" spans="2:16" x14ac:dyDescent="0.2">
      <c r="B44" s="6" t="s">
        <v>12</v>
      </c>
      <c r="C44" s="15" t="s">
        <v>5</v>
      </c>
      <c r="D44" s="15"/>
      <c r="E44" s="16"/>
      <c r="F44" s="17"/>
      <c r="G44" s="18" t="s">
        <v>5</v>
      </c>
      <c r="H44" s="19" t="s">
        <v>5</v>
      </c>
      <c r="I44" s="20"/>
      <c r="J44" s="11">
        <v>7</v>
      </c>
      <c r="K44" s="8">
        <v>0</v>
      </c>
      <c r="L44" s="30">
        <v>300</v>
      </c>
      <c r="M44" s="28">
        <f>Money[[#This Row],[Net Price]]-Money[[#This Row],[COGS]]</f>
        <v>300</v>
      </c>
    </row>
    <row r="45" spans="2:16" x14ac:dyDescent="0.2">
      <c r="B45" s="6" t="s">
        <v>46</v>
      </c>
      <c r="C45" s="15"/>
      <c r="D45" s="15"/>
      <c r="E45" s="27" t="s">
        <v>5</v>
      </c>
      <c r="F45" s="34" t="s">
        <v>5</v>
      </c>
      <c r="G45" s="38"/>
      <c r="H45" s="36" t="s">
        <v>5</v>
      </c>
      <c r="I45" s="20"/>
      <c r="J45" s="45">
        <v>2</v>
      </c>
      <c r="K45" s="8">
        <v>800</v>
      </c>
      <c r="L45" s="30">
        <v>1123.42</v>
      </c>
      <c r="M45" s="28">
        <f>Money[[#This Row],[Net Price]]-Money[[#This Row],[COGS]]</f>
        <v>323.42000000000007</v>
      </c>
    </row>
    <row r="46" spans="2:16" x14ac:dyDescent="0.2">
      <c r="B46" s="6" t="s">
        <v>44</v>
      </c>
      <c r="C46" s="15"/>
      <c r="D46" s="15"/>
      <c r="E46" s="27" t="s">
        <v>5</v>
      </c>
      <c r="F46" s="34" t="s">
        <v>5</v>
      </c>
      <c r="G46" s="18"/>
      <c r="H46" s="19"/>
      <c r="I46" s="35" t="s">
        <v>5</v>
      </c>
      <c r="J46" s="11">
        <v>2</v>
      </c>
      <c r="K46" s="8">
        <v>400</v>
      </c>
      <c r="L46" s="30">
        <v>784.67</v>
      </c>
      <c r="M46" s="28">
        <f>Money[[#This Row],[Net Price]]-Money[[#This Row],[COGS]]</f>
        <v>384.66999999999996</v>
      </c>
    </row>
    <row r="47" spans="2:16" x14ac:dyDescent="0.2">
      <c r="B47" s="7" t="s">
        <v>51</v>
      </c>
      <c r="C47" s="15"/>
      <c r="D47" s="15"/>
      <c r="E47" s="43" t="s">
        <v>5</v>
      </c>
      <c r="F47" s="34" t="s">
        <v>5</v>
      </c>
      <c r="G47" s="47"/>
      <c r="H47" s="19"/>
      <c r="I47" s="44" t="s">
        <v>5</v>
      </c>
      <c r="J47" s="45">
        <v>2</v>
      </c>
      <c r="K47" s="9">
        <v>800</v>
      </c>
      <c r="L47" s="31">
        <v>1235.76</v>
      </c>
      <c r="M47" s="29">
        <f>Money[[#This Row],[Net Price]]-Money[[#This Row],[COGS]]</f>
        <v>435.76</v>
      </c>
    </row>
    <row r="48" spans="2:16" ht="17" thickBot="1" x14ac:dyDescent="0.25">
      <c r="B48" s="14">
        <f>SUBTOTAL(103,Money[Items:])</f>
        <v>38</v>
      </c>
      <c r="C48" s="24">
        <f>COUNTIF(Money[Misc],"X")</f>
        <v>12</v>
      </c>
      <c r="D48" s="25">
        <f>COUNTIF(Money[Ebay(Buy)], "X")</f>
        <v>2</v>
      </c>
      <c r="E48" s="26">
        <f>COUNTIF(Money[Marketplace(Buy)],"X")</f>
        <v>24</v>
      </c>
      <c r="F48" s="24">
        <f>COUNTIF(Money[Ebay (Sell)], "X")</f>
        <v>30</v>
      </c>
      <c r="G48" s="26">
        <f>COUNTIF(Money[Marketplace(Sell)], "X")</f>
        <v>4</v>
      </c>
      <c r="H48" s="24">
        <f>COUNTIF(Money[Used], "X")</f>
        <v>17</v>
      </c>
      <c r="I48" s="26">
        <f>COUNTIF(Money[New], "X")</f>
        <v>21</v>
      </c>
      <c r="J48" s="12"/>
      <c r="K48" s="4">
        <f>SUM(Money[COGS])</f>
        <v>8492.2799999999988</v>
      </c>
      <c r="L48" s="32">
        <f>SUM(Money[Net Price])</f>
        <v>12169.08</v>
      </c>
      <c r="M48" s="13">
        <f>SUM(Money[Profit])</f>
        <v>3676.8</v>
      </c>
      <c r="P48" s="5"/>
    </row>
    <row r="49" spans="9:9" ht="17" thickTop="1" x14ac:dyDescent="0.2"/>
    <row r="54" spans="9:9" x14ac:dyDescent="0.2">
      <c r="I54" s="33"/>
    </row>
  </sheetData>
  <phoneticPr fontId="2" type="noConversion"/>
  <conditionalFormatting sqref="F5">
    <cfRule type="iconSet" priority="6">
      <iconSet>
        <cfvo type="percent" val="0"/>
        <cfvo type="percent" val="33"/>
        <cfvo type="percent" val="67"/>
      </iconSet>
    </cfRule>
  </conditionalFormatting>
  <conditionalFormatting sqref="J25:J26">
    <cfRule type="cellIs" dxfId="0" priority="5" operator="greaterThan">
      <formula>200</formula>
    </cfRule>
  </conditionalFormatting>
  <conditionalFormatting sqref="J4:J47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{BAE951EE-AF06-FF4B-A7A4-F2302BBABC6C}</x14:id>
        </ext>
      </extLst>
    </cfRule>
  </conditionalFormatting>
  <conditionalFormatting sqref="K4:K47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{8BEA0A5E-AC88-B44C-BF02-FF1642201488}</x14:id>
        </ext>
      </extLst>
    </cfRule>
  </conditionalFormatting>
  <conditionalFormatting sqref="L4:L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{568EF92A-7A03-654E-BFF5-C61AF83C15A2}</x14:id>
        </ext>
      </extLst>
    </cfRule>
  </conditionalFormatting>
  <conditionalFormatting sqref="M4:M4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E951EE-AF06-FF4B-A7A4-F2302BBABC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J4:J47</xm:sqref>
        </x14:conditionalFormatting>
        <x14:conditionalFormatting xmlns:xm="http://schemas.microsoft.com/office/excel/2006/main">
          <x14:cfRule type="dataBar" id="{8BEA0A5E-AC88-B44C-BF02-FF16422014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K4:K47</xm:sqref>
        </x14:conditionalFormatting>
        <x14:conditionalFormatting xmlns:xm="http://schemas.microsoft.com/office/excel/2006/main">
          <x14:cfRule type="dataBar" id="{568EF92A-7A03-654E-BFF5-C61AF83C1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L4:L47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 Work - Camilo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Forcucci, Camillo</dc:creator>
  <cp:lastModifiedBy>Forcucci, Camillo</cp:lastModifiedBy>
  <dcterms:created xsi:type="dcterms:W3CDTF">2026-06-17T16:14:20Z</dcterms:created>
  <dcterms:modified xsi:type="dcterms:W3CDTF">2026-07-14T22:07:18Z</dcterms:modified>
</cp:coreProperties>
</file>